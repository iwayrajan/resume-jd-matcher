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 Tracker" sheetId="1" state="visible" r:id="rId3"/>
    <sheet name="Delivery Check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<sst xmlns="http://schemas.openxmlformats.org/spreadsheetml/2006/main" count="57" uniqueCount="57">
  <si>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Student Order Tracker</t>
  </si>
  <si>
    <t xml:space="preserve">Total orders</t>
  </si>
  <si>
    <t xml:space="preserve">Total revenue charged (₹)</t>
  </si>
  <si>
    <t xml:space="preserve">Total collected (₹)</t>
  </si>
  <si>
    <t xml:space="preserve">Total pending (₹)</t>
  </si>
  <si>
    <t xml:space="preserve">Order ID</t>
  </si>
  <si>
    <t xml:space="preserve">Product</t>
  </si>
  <si>
    <t xml:space="preserve">Student Name</t>
  </si>
  <si>
    <t xml:space="preserve">College</t>
  </si>
  <si>
    <t xml:space="preserve">Contact</t>
  </si>
  <si>
    <t xml:space="preserve">Project Type</t>
  </si>
  <si>
    <t xml:space="preserve">Order Date</t>
  </si>
  <si>
    <t xml:space="preserve">Package Tier</t>
  </si>
  <si>
    <t xml:space="preserve">Price Charged (₹)</t>
  </si>
  <si>
    <t xml:space="preserve">Amount Paid (₹)</t>
  </si>
  <si>
    <t xml:space="preserve">Balance Due (₹)</t>
  </si>
  <si>
    <t xml:space="preserve">Payment Status</t>
  </si>
  <si>
    <t xml:space="preserve">Delivery Status</t>
  </si>
  <si>
    <t xml:space="preserve">Submission Deadline</t>
  </si>
  <si>
    <t xml:space="preserve">Follow-up Date</t>
  </si>
  <si>
    <t xml:space="preserve">Uniqueness Notes</t>
  </si>
  <si>
    <t xml:space="preserve">General Notes</t>
  </si>
  <si>
    <t xml:space="preserve">ORD-001</t>
  </si>
  <si>
    <t xml:space="preserve">Resume/JD Matcher</t>
  </si>
  <si>
    <t xml:space="preserve">Priya Sharma</t>
  </si>
  <si>
    <t xml:space="preserve">ABC Institute of Technology</t>
  </si>
  <si>
    <t xml:space="preserve">priya.s@example.com</t>
  </si>
  <si>
    <t xml:space="preserve">Mini Project</t>
  </si>
  <si>
    <t xml:space="preserve">2026-01-15</t>
  </si>
  <si>
    <t xml:space="preserve">Full Package</t>
  </si>
  <si>
    <t xml:space="preserve">In Progress</t>
  </si>
  <si>
    <t xml:space="preserve">2026-03-20</t>
  </si>
  <si>
    <t xml:space="preserve">2026-03-10</t>
  </si>
  <si>
    <t xml:space="preserve">Used a marketing-role JD example instead of the generic backend/data-science pair</t>
  </si>
  <si>
    <t xml:space="preserve">Paid 50% upfront, remainder on delivery</t>
  </si>
  <si>
    <t xml:space="preserve">Legend</t>
  </si>
  <si>
    <t xml:space="preserve">Fill in yourself</t>
  </si>
  <si>
    <t xml:space="preserve">Auto-calculated — don't edit</t>
  </si>
  <si>
    <t xml:space="preserve">Per-Order Delivery Checklist</t>
  </si>
  <si>
    <t xml:space="preserve">Same steps for every order — use the Notes column to jot order-specific details</t>
  </si>
  <si>
    <t xml:space="preserve">#</t>
  </si>
  <si>
    <t xml:space="preserve">Step</t>
  </si>
  <si>
    <t xml:space="preserve">Done?</t>
  </si>
  <si>
    <t xml:space="preserve">Notes</t>
  </si>
  <si>
    <t xml:space="preserve">Confirm package tier and price with the student before starting</t>
  </si>
  <si>
    <t xml:space="preserve">Collect student details: name, roll number, college, department, guide, HOD, academic year, submission month</t>
  </si>
  <si>
    <t xml:space="preserve">Update student_config.json with the student's details</t>
  </si>
  <si>
    <t xml:space="preserve">Run scripts/generate_all.sh to regenerate the report and presentation</t>
  </si>
  <si>
    <t xml:space="preserve">Replace Chapter 7 screenshot placeholders in the report with real app screenshots</t>
  </si>
  <si>
    <t xml:space="preserve">Replace the Demo slide placeholders in the presentation with real screenshots</t>
  </si>
  <si>
    <t xml:space="preserve">Open the report in Word: right-click the Table of Contents → Update Field → Update entire table</t>
  </si>
  <si>
    <t xml:space="preserve">Confirm whether the student's department requires IEEE or APA references specifically</t>
  </si>
  <si>
    <t xml:space="preserve">Vary something so this submission doesn't match another student's 1:1 (see notes column for ideas)</t>
  </si>
  <si>
    <t xml:space="preserve">Final read-through of report and slides for leftover placeholder text or brackets</t>
  </si>
  <si>
    <t xml:space="preserve">Package and send: report docx, presentation pptx, viva_question_bank.md</t>
  </si>
  <si>
    <t xml:space="preserve">Update Orders Tracker: payment status, delivery status, and dates</t>
  </si>
  <si>
    <t xml:space="preserve">Set a follow-up reminder around the student's viva date to check how it went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</si>
</sst>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\₹#,##0;&quot;(₹&quot;#,##0\)"/>
    <numFmt numFmtId="167" formatCode="\₹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3D6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3D62"/>
        <bgColor rgb="FF333399"/>
      </patternFill>
    </fill>
    <fill>
      <patternFill patternType="solid">
        <fgColor rgb="FFFFF9E6"/>
        <bgColor rgb="FFFFFFFF"/>
      </patternFill>
    </fill>
    <fill>
      <patternFill patternType="solid">
        <fgColor rgb="FFF0F0F0"/>
        <bgColor rgb="FFFFF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0C0C0"/>
      <rgbColor rgb="FF808080"/>
      <rgbColor rgb="FF9999FF"/>
      <rgbColor rgb="FF993366"/>
      <rgbColor rgb="FFFFF9E6"/>
      <rgbColor rgb="FFF0F0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3D62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3" min="11" style="0" width="13"/>
    <col collapsed="false" customWidth="true" hidden="false" outlineLevel="0" max="14" min="14" style="0" width="15"/>
    <col collapsed="false" customWidth="true" hidden="false" outlineLevel="0" max="15" min="15" style="0" width="13"/>
    <col collapsed="false" customWidth="true" hidden="false" outlineLevel="0" max="16" min="16" style="0" width="28"/>
    <col collapsed="false" customWidth="true" hidden="false" outlineLevel="0" max="17" min="17" style="0" width="24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f aca="false">COUNTA(C9:C200)</f>
        <v>1</v>
      </c>
    </row>
    <row r="4" customFormat="false" ht="15" hidden="false" customHeight="false" outlineLevel="0" collapsed="false">
      <c r="A4" s="2" t="s">
        <v>2</v>
      </c>
      <c r="B4" s="4" t="n">
        <f aca="false">SUM(I9:I200)</f>
        <v>10000</v>
      </c>
    </row>
    <row r="5" customFormat="false" ht="15" hidden="false" customHeight="false" outlineLevel="0" collapsed="false">
      <c r="A5" s="2" t="s">
        <v>3</v>
      </c>
      <c r="B5" s="4" t="n">
        <f aca="false">SUM(J9:J200)</f>
        <v>5000</v>
      </c>
    </row>
    <row r="6" customFormat="false" ht="15" hidden="false" customHeight="false" outlineLevel="0" collapsed="false">
      <c r="A6" s="2" t="s">
        <v>4</v>
      </c>
      <c r="B6" s="4" t="n">
        <f aca="false">B4-B5</f>
        <v>5000</v>
      </c>
    </row>
    <row r="8" customFormat="false" ht="26.8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  <c r="J8" s="5" t="s">
        <v>14</v>
      </c>
      <c r="K8" s="5" t="s">
        <v>15</v>
      </c>
      <c r="L8" s="5" t="s">
        <v>16</v>
      </c>
      <c r="M8" s="5" t="s">
        <v>17</v>
      </c>
      <c r="N8" s="5" t="s">
        <v>18</v>
      </c>
      <c r="O8" s="5" t="s">
        <v>19</v>
      </c>
      <c r="P8" s="5" t="s">
        <v>20</v>
      </c>
      <c r="Q8" s="5" t="s">
        <v>21</v>
      </c>
    </row>
    <row r="9" customFormat="false" ht="15" hidden="false" customHeight="false" outlineLevel="0" collapsed="false">
      <c r="A9" s="6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6" t="s">
        <v>28</v>
      </c>
      <c r="H9" s="6" t="s">
        <v>29</v>
      </c>
      <c r="I9" s="7" t="n">
        <v>10000</v>
      </c>
      <c r="J9" s="7" t="n">
        <v>5000</v>
      </c>
      <c r="K9" s="8" t="n">
        <f aca="false">IF(I9="","",I9-J9)</f>
        <v>5000</v>
      </c>
      <c r="L9" s="9" t="str">
        <f aca="false">IF(I9="","",IF(K9&lt;=0,"Paid",IF(J9=0,"Pending","Partial")))</f>
        <v>Partial</v>
      </c>
      <c r="M9" s="6" t="s">
        <v>30</v>
      </c>
      <c r="N9" s="6" t="s">
        <v>31</v>
      </c>
      <c r="O9" s="6" t="s">
        <v>32</v>
      </c>
      <c r="P9" s="6" t="s">
        <v>33</v>
      </c>
      <c r="Q9" s="6" t="s">
        <v>34</v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7"/>
      <c r="J10" s="7"/>
      <c r="K10" s="8" t="str">
        <f aca="false">IF(I10="","",I10-J10)</f>
        <v/>
      </c>
      <c r="L10" s="9" t="str">
        <f aca="false">IF(I10="","",IF(K10&lt;=0,"Paid",IF(J10=0,"Pending","Partial")))</f>
        <v/>
      </c>
      <c r="M10" s="6"/>
      <c r="N10" s="6"/>
      <c r="O10" s="6"/>
      <c r="P10" s="6"/>
      <c r="Q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7"/>
      <c r="J11" s="7"/>
      <c r="K11" s="8" t="str">
        <f aca="false">IF(I11="","",I11-J11)</f>
        <v/>
      </c>
      <c r="L11" s="9" t="str">
        <f aca="false">IF(I11="","",IF(K11&lt;=0,"Paid",IF(J11=0,"Pending","Partial")))</f>
        <v/>
      </c>
      <c r="M11" s="6"/>
      <c r="N11" s="6"/>
      <c r="O11" s="6"/>
      <c r="P11" s="6"/>
      <c r="Q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7"/>
      <c r="J12" s="7"/>
      <c r="K12" s="8" t="str">
        <f aca="false">IF(I12="","",I12-J12)</f>
        <v/>
      </c>
      <c r="L12" s="9" t="str">
        <f aca="false">IF(I12="","",IF(K12&lt;=0,"Paid",IF(J12=0,"Pending","Partial")))</f>
        <v/>
      </c>
      <c r="M12" s="6"/>
      <c r="N12" s="6"/>
      <c r="O12" s="6"/>
      <c r="P12" s="6"/>
      <c r="Q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7"/>
      <c r="J13" s="7"/>
      <c r="K13" s="8" t="str">
        <f aca="false">IF(I13="","",I13-J13)</f>
        <v/>
      </c>
      <c r="L13" s="9" t="str">
        <f aca="false">IF(I13="","",IF(K13&lt;=0,"Paid",IF(J13=0,"Pending","Partial")))</f>
        <v/>
      </c>
      <c r="M13" s="6"/>
      <c r="N13" s="6"/>
      <c r="O13" s="6"/>
      <c r="P13" s="6"/>
      <c r="Q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7"/>
      <c r="J14" s="7"/>
      <c r="K14" s="8" t="str">
        <f aca="false">IF(I14="","",I14-J14)</f>
        <v/>
      </c>
      <c r="L14" s="9" t="str">
        <f aca="false">IF(I14="","",IF(K14&lt;=0,"Paid",IF(J14=0,"Pending","Partial")))</f>
        <v/>
      </c>
      <c r="M14" s="6"/>
      <c r="N14" s="6"/>
      <c r="O14" s="6"/>
      <c r="P14" s="6"/>
      <c r="Q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7"/>
      <c r="J15" s="7"/>
      <c r="K15" s="8" t="str">
        <f aca="false">IF(I15="","",I15-J15)</f>
        <v/>
      </c>
      <c r="L15" s="9" t="str">
        <f aca="false">IF(I15="","",IF(K15&lt;=0,"Paid",IF(J15=0,"Pending","Partial")))</f>
        <v/>
      </c>
      <c r="M15" s="6"/>
      <c r="N15" s="6"/>
      <c r="O15" s="6"/>
      <c r="P15" s="6"/>
      <c r="Q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7"/>
      <c r="J16" s="7"/>
      <c r="K16" s="8" t="str">
        <f aca="false">IF(I16="","",I16-J16)</f>
        <v/>
      </c>
      <c r="L16" s="9" t="str">
        <f aca="false">IF(I16="","",IF(K16&lt;=0,"Paid",IF(J16=0,"Pending","Partial")))</f>
        <v/>
      </c>
      <c r="M16" s="6"/>
      <c r="N16" s="6"/>
      <c r="O16" s="6"/>
      <c r="P16" s="6"/>
      <c r="Q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7"/>
      <c r="J17" s="7"/>
      <c r="K17" s="8" t="str">
        <f aca="false">IF(I17="","",I17-J17)</f>
        <v/>
      </c>
      <c r="L17" s="9" t="str">
        <f aca="false">IF(I17="","",IF(K17&lt;=0,"Paid",IF(J17=0,"Pending","Partial")))</f>
        <v/>
      </c>
      <c r="M17" s="6"/>
      <c r="N17" s="6"/>
      <c r="O17" s="6"/>
      <c r="P17" s="6"/>
      <c r="Q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7"/>
      <c r="J18" s="7"/>
      <c r="K18" s="8" t="str">
        <f aca="false">IF(I18="","",I18-J18)</f>
        <v/>
      </c>
      <c r="L18" s="9" t="str">
        <f aca="false">IF(I18="","",IF(K18&lt;=0,"Paid",IF(J18=0,"Pending","Partial")))</f>
        <v/>
      </c>
      <c r="M18" s="6"/>
      <c r="N18" s="6"/>
      <c r="O18" s="6"/>
      <c r="P18" s="6"/>
      <c r="Q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7"/>
      <c r="J19" s="7"/>
      <c r="K19" s="8" t="str">
        <f aca="false">IF(I19="","",I19-J19)</f>
        <v/>
      </c>
      <c r="L19" s="9" t="str">
        <f aca="false">IF(I19="","",IF(K19&lt;=0,"Paid",IF(J19=0,"Pending","Partial")))</f>
        <v/>
      </c>
      <c r="M19" s="6"/>
      <c r="N19" s="6"/>
      <c r="O19" s="6"/>
      <c r="P19" s="6"/>
      <c r="Q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7"/>
      <c r="J20" s="7"/>
      <c r="K20" s="8" t="str">
        <f aca="false">IF(I20="","",I20-J20)</f>
        <v/>
      </c>
      <c r="L20" s="9" t="str">
        <f aca="false">IF(I20="","",IF(K20&lt;=0,"Paid",IF(J20=0,"Pending","Partial")))</f>
        <v/>
      </c>
      <c r="M20" s="6"/>
      <c r="N20" s="6"/>
      <c r="O20" s="6"/>
      <c r="P20" s="6"/>
      <c r="Q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7"/>
      <c r="J21" s="7"/>
      <c r="K21" s="8" t="str">
        <f aca="false">IF(I21="","",I21-J21)</f>
        <v/>
      </c>
      <c r="L21" s="9" t="str">
        <f aca="false">IF(I21="","",IF(K21&lt;=0,"Paid",IF(J21=0,"Pending","Partial")))</f>
        <v/>
      </c>
      <c r="M21" s="6"/>
      <c r="N21" s="6"/>
      <c r="O21" s="6"/>
      <c r="P21" s="6"/>
      <c r="Q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7"/>
      <c r="J22" s="7"/>
      <c r="K22" s="8" t="str">
        <f aca="false">IF(I22="","",I22-J22)</f>
        <v/>
      </c>
      <c r="L22" s="9" t="str">
        <f aca="false">IF(I22="","",IF(K22&lt;=0,"Paid",IF(J22=0,"Pending","Partial")))</f>
        <v/>
      </c>
      <c r="M22" s="6"/>
      <c r="N22" s="6"/>
      <c r="O22" s="6"/>
      <c r="P22" s="6"/>
      <c r="Q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7"/>
      <c r="J23" s="7"/>
      <c r="K23" s="8" t="str">
        <f aca="false">IF(I23="","",I23-J23)</f>
        <v/>
      </c>
      <c r="L23" s="9" t="str">
        <f aca="false">IF(I23="","",IF(K23&lt;=0,"Paid",IF(J23=0,"Pending","Partial")))</f>
        <v/>
      </c>
      <c r="M23" s="6"/>
      <c r="N23" s="6"/>
      <c r="O23" s="6"/>
      <c r="P23" s="6"/>
      <c r="Q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7"/>
      <c r="J24" s="7"/>
      <c r="K24" s="8" t="str">
        <f aca="false">IF(I24="","",I24-J24)</f>
        <v/>
      </c>
      <c r="L24" s="9" t="str">
        <f aca="false">IF(I24="","",IF(K24&lt;=0,"Paid",IF(J24=0,"Pending","Partial")))</f>
        <v/>
      </c>
      <c r="M24" s="6"/>
      <c r="N24" s="6"/>
      <c r="O24" s="6"/>
      <c r="P24" s="6"/>
      <c r="Q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7"/>
      <c r="J25" s="7"/>
      <c r="K25" s="8" t="str">
        <f aca="false">IF(I25="","",I25-J25)</f>
        <v/>
      </c>
      <c r="L25" s="9" t="str">
        <f aca="false">IF(I25="","",IF(K25&lt;=0,"Paid",IF(J25=0,"Pending","Partial")))</f>
        <v/>
      </c>
      <c r="M25" s="6"/>
      <c r="N25" s="6"/>
      <c r="O25" s="6"/>
      <c r="P25" s="6"/>
      <c r="Q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7"/>
      <c r="J26" s="7"/>
      <c r="K26" s="8" t="str">
        <f aca="false">IF(I26="","",I26-J26)</f>
        <v/>
      </c>
      <c r="L26" s="9" t="str">
        <f aca="false">IF(I26="","",IF(K26&lt;=0,"Paid",IF(J26=0,"Pending","Partial")))</f>
        <v/>
      </c>
      <c r="M26" s="6"/>
      <c r="N26" s="6"/>
      <c r="O26" s="6"/>
      <c r="P26" s="6"/>
      <c r="Q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7"/>
      <c r="J27" s="7"/>
      <c r="K27" s="8" t="str">
        <f aca="false">IF(I27="","",I27-J27)</f>
        <v/>
      </c>
      <c r="L27" s="9" t="str">
        <f aca="false">IF(I27="","",IF(K27&lt;=0,"Paid",IF(J27=0,"Pending","Partial")))</f>
        <v/>
      </c>
      <c r="M27" s="6"/>
      <c r="N27" s="6"/>
      <c r="O27" s="6"/>
      <c r="P27" s="6"/>
      <c r="Q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7"/>
      <c r="J28" s="7"/>
      <c r="K28" s="8" t="str">
        <f aca="false">IF(I28="","",I28-J28)</f>
        <v/>
      </c>
      <c r="L28" s="9" t="str">
        <f aca="false">IF(I28="","",IF(K28&lt;=0,"Paid",IF(J28=0,"Pending","Partial")))</f>
        <v/>
      </c>
      <c r="M28" s="6"/>
      <c r="N28" s="6"/>
      <c r="O28" s="6"/>
      <c r="P28" s="6"/>
      <c r="Q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7"/>
      <c r="J29" s="7"/>
      <c r="K29" s="8" t="str">
        <f aca="false">IF(I29="","",I29-J29)</f>
        <v/>
      </c>
      <c r="L29" s="9" t="str">
        <f aca="false">IF(I29="","",IF(K29&lt;=0,"Paid",IF(J29=0,"Pending","Partial")))</f>
        <v/>
      </c>
      <c r="M29" s="6"/>
      <c r="N29" s="6"/>
      <c r="O29" s="6"/>
      <c r="P29" s="6"/>
      <c r="Q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7"/>
      <c r="J30" s="7"/>
      <c r="K30" s="8" t="str">
        <f aca="false">IF(I30="","",I30-J30)</f>
        <v/>
      </c>
      <c r="L30" s="9" t="str">
        <f aca="false">IF(I30="","",IF(K30&lt;=0,"Paid",IF(J30=0,"Pending","Partial")))</f>
        <v/>
      </c>
      <c r="M30" s="6"/>
      <c r="N30" s="6"/>
      <c r="O30" s="6"/>
      <c r="P30" s="6"/>
      <c r="Q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7"/>
      <c r="J31" s="7"/>
      <c r="K31" s="8" t="str">
        <f aca="false">IF(I31="","",I31-J31)</f>
        <v/>
      </c>
      <c r="L31" s="9" t="str">
        <f aca="false">IF(I31="","",IF(K31&lt;=0,"Paid",IF(J31=0,"Pending","Partial")))</f>
        <v/>
      </c>
      <c r="M31" s="6"/>
      <c r="N31" s="6"/>
      <c r="O31" s="6"/>
      <c r="P31" s="6"/>
      <c r="Q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7"/>
      <c r="J32" s="7"/>
      <c r="K32" s="8" t="str">
        <f aca="false">IF(I32="","",I32-J32)</f>
        <v/>
      </c>
      <c r="L32" s="9" t="str">
        <f aca="false">IF(I32="","",IF(K32&lt;=0,"Paid",IF(J32=0,"Pending","Partial")))</f>
        <v/>
      </c>
      <c r="M32" s="6"/>
      <c r="N32" s="6"/>
      <c r="O32" s="6"/>
      <c r="P32" s="6"/>
      <c r="Q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7"/>
      <c r="J33" s="7"/>
      <c r="K33" s="8" t="str">
        <f aca="false">IF(I33="","",I33-J33)</f>
        <v/>
      </c>
      <c r="L33" s="9" t="str">
        <f aca="false">IF(I33="","",IF(K33&lt;=0,"Paid",IF(J33=0,"Pending","Partial")))</f>
        <v/>
      </c>
      <c r="M33" s="6"/>
      <c r="N33" s="6"/>
      <c r="O33" s="6"/>
      <c r="P33" s="6"/>
      <c r="Q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7"/>
      <c r="J34" s="7"/>
      <c r="K34" s="8" t="str">
        <f aca="false">IF(I34="","",I34-J34)</f>
        <v/>
      </c>
      <c r="L34" s="9" t="str">
        <f aca="false">IF(I34="","",IF(K34&lt;=0,"Paid",IF(J34=0,"Pending","Partial")))</f>
        <v/>
      </c>
      <c r="M34" s="6"/>
      <c r="N34" s="6"/>
      <c r="O34" s="6"/>
      <c r="P34" s="6"/>
      <c r="Q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7"/>
      <c r="J35" s="7"/>
      <c r="K35" s="8" t="str">
        <f aca="false">IF(I35="","",I35-J35)</f>
        <v/>
      </c>
      <c r="L35" s="9" t="str">
        <f aca="false">IF(I35="","",IF(K35&lt;=0,"Paid",IF(J35=0,"Pending","Partial")))</f>
        <v/>
      </c>
      <c r="M35" s="6"/>
      <c r="N35" s="6"/>
      <c r="O35" s="6"/>
      <c r="P35" s="6"/>
      <c r="Q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7"/>
      <c r="J36" s="7"/>
      <c r="K36" s="8" t="str">
        <f aca="false">IF(I36="","",I36-J36)</f>
        <v/>
      </c>
      <c r="L36" s="9" t="str">
        <f aca="false">IF(I36="","",IF(K36&lt;=0,"Paid",IF(J36=0,"Pending","Partial")))</f>
        <v/>
      </c>
      <c r="M36" s="6"/>
      <c r="N36" s="6"/>
      <c r="O36" s="6"/>
      <c r="P36" s="6"/>
      <c r="Q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7"/>
      <c r="J37" s="7"/>
      <c r="K37" s="8" t="str">
        <f aca="false">IF(I37="","",I37-J37)</f>
        <v/>
      </c>
      <c r="L37" s="9" t="str">
        <f aca="false">IF(I37="","",IF(K37&lt;=0,"Paid",IF(J37=0,"Pending","Partial")))</f>
        <v/>
      </c>
      <c r="M37" s="6"/>
      <c r="N37" s="6"/>
      <c r="O37" s="6"/>
      <c r="P37" s="6"/>
      <c r="Q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7"/>
      <c r="J38" s="7"/>
      <c r="K38" s="8" t="str">
        <f aca="false">IF(I38="","",I38-J38)</f>
        <v/>
      </c>
      <c r="L38" s="9" t="str">
        <f aca="false">IF(I38="","",IF(K38&lt;=0,"Paid",IF(J38=0,"Pending","Partial")))</f>
        <v/>
      </c>
      <c r="M38" s="6"/>
      <c r="N38" s="6"/>
      <c r="O38" s="6"/>
      <c r="P38" s="6"/>
      <c r="Q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7"/>
      <c r="J39" s="7"/>
      <c r="K39" s="8" t="str">
        <f aca="false">IF(I39="","",I39-J39)</f>
        <v/>
      </c>
      <c r="L39" s="9" t="str">
        <f aca="false">IF(I39="","",IF(K39&lt;=0,"Paid",IF(J39=0,"Pending","Partial")))</f>
        <v/>
      </c>
      <c r="M39" s="6"/>
      <c r="N39" s="6"/>
      <c r="O39" s="6"/>
      <c r="P39" s="6"/>
      <c r="Q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7"/>
      <c r="J40" s="7"/>
      <c r="K40" s="8" t="str">
        <f aca="false">IF(I40="","",I40-J40)</f>
        <v/>
      </c>
      <c r="L40" s="9" t="str">
        <f aca="false">IF(I40="","",IF(K40&lt;=0,"Paid",IF(J40=0,"Pending","Partial")))</f>
        <v/>
      </c>
      <c r="M40" s="6"/>
      <c r="N40" s="6"/>
      <c r="O40" s="6"/>
      <c r="P40" s="6"/>
      <c r="Q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7"/>
      <c r="J41" s="7"/>
      <c r="K41" s="8" t="str">
        <f aca="false">IF(I41="","",I41-J41)</f>
        <v/>
      </c>
      <c r="L41" s="9" t="str">
        <f aca="false">IF(I41="","",IF(K41&lt;=0,"Paid",IF(J41=0,"Pending","Partial")))</f>
        <v/>
      </c>
      <c r="M41" s="6"/>
      <c r="N41" s="6"/>
      <c r="O41" s="6"/>
      <c r="P41" s="6"/>
      <c r="Q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7"/>
      <c r="J42" s="7"/>
      <c r="K42" s="8" t="str">
        <f aca="false">IF(I42="","",I42-J42)</f>
        <v/>
      </c>
      <c r="L42" s="9" t="str">
        <f aca="false">IF(I42="","",IF(K42&lt;=0,"Paid",IF(J42=0,"Pending","Partial")))</f>
        <v/>
      </c>
      <c r="M42" s="6"/>
      <c r="N42" s="6"/>
      <c r="O42" s="6"/>
      <c r="P42" s="6"/>
      <c r="Q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7"/>
      <c r="J43" s="7"/>
      <c r="K43" s="8" t="str">
        <f aca="false">IF(I43="","",I43-J43)</f>
        <v/>
      </c>
      <c r="L43" s="9" t="str">
        <f aca="false">IF(I43="","",IF(K43&lt;=0,"Paid",IF(J43=0,"Pending","Partial")))</f>
        <v/>
      </c>
      <c r="M43" s="6"/>
      <c r="N43" s="6"/>
      <c r="O43" s="6"/>
      <c r="P43" s="6"/>
      <c r="Q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7"/>
      <c r="J44" s="7"/>
      <c r="K44" s="8" t="str">
        <f aca="false">IF(I44="","",I44-J44)</f>
        <v/>
      </c>
      <c r="L44" s="9" t="str">
        <f aca="false">IF(I44="","",IF(K44&lt;=0,"Paid",IF(J44=0,"Pending","Partial")))</f>
        <v/>
      </c>
      <c r="M44" s="6"/>
      <c r="N44" s="6"/>
      <c r="O44" s="6"/>
      <c r="P44" s="6"/>
      <c r="Q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7"/>
      <c r="J45" s="7"/>
      <c r="K45" s="8" t="str">
        <f aca="false">IF(I45="","",I45-J45)</f>
        <v/>
      </c>
      <c r="L45" s="9" t="str">
        <f aca="false">IF(I45="","",IF(K45&lt;=0,"Paid",IF(J45=0,"Pending","Partial")))</f>
        <v/>
      </c>
      <c r="M45" s="6"/>
      <c r="N45" s="6"/>
      <c r="O45" s="6"/>
      <c r="P45" s="6"/>
      <c r="Q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7"/>
      <c r="J46" s="7"/>
      <c r="K46" s="8" t="str">
        <f aca="false">IF(I46="","",I46-J46)</f>
        <v/>
      </c>
      <c r="L46" s="9" t="str">
        <f aca="false">IF(I46="","",IF(K46&lt;=0,"Paid",IF(J46=0,"Pending","Partial")))</f>
        <v/>
      </c>
      <c r="M46" s="6"/>
      <c r="N46" s="6"/>
      <c r="O46" s="6"/>
      <c r="P46" s="6"/>
      <c r="Q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7"/>
      <c r="J47" s="7"/>
      <c r="K47" s="8" t="str">
        <f aca="false">IF(I47="","",I47-J47)</f>
        <v/>
      </c>
      <c r="L47" s="9" t="str">
        <f aca="false">IF(I47="","",IF(K47&lt;=0,"Paid",IF(J47=0,"Pending","Partial")))</f>
        <v/>
      </c>
      <c r="M47" s="6"/>
      <c r="N47" s="6"/>
      <c r="O47" s="6"/>
      <c r="P47" s="6"/>
      <c r="Q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7"/>
      <c r="J48" s="7"/>
      <c r="K48" s="8" t="str">
        <f aca="false">IF(I48="","",I48-J48)</f>
        <v/>
      </c>
      <c r="L48" s="9" t="str">
        <f aca="false">IF(I48="","",IF(K48&lt;=0,"Paid",IF(J48=0,"Pending","Partial")))</f>
        <v/>
      </c>
      <c r="M48" s="6"/>
      <c r="N48" s="6"/>
      <c r="O48" s="6"/>
      <c r="P48" s="6"/>
      <c r="Q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7"/>
      <c r="J49" s="7"/>
      <c r="K49" s="8" t="str">
        <f aca="false">IF(I49="","",I49-J49)</f>
        <v/>
      </c>
      <c r="L49" s="9" t="str">
        <f aca="false">IF(I49="","",IF(K49&lt;=0,"Paid",IF(J49=0,"Pending","Partial")))</f>
        <v/>
      </c>
      <c r="M49" s="6"/>
      <c r="N49" s="6"/>
      <c r="O49" s="6"/>
      <c r="P49" s="6"/>
      <c r="Q49" s="6"/>
    </row>
    <row r="52" customFormat="false" ht="15" hidden="false" customHeight="false" outlineLevel="0" collapsed="false">
      <c r="A52" s="2" t="s">
        <v>35</v>
      </c>
    </row>
    <row r="53" customFormat="false" ht="15" hidden="false" customHeight="false" outlineLevel="0" collapsed="false">
      <c r="A53" s="10" t="s">
        <v>36</v>
      </c>
    </row>
    <row r="54" customFormat="false" ht="15" hidden="false" customHeight="false" outlineLevel="0" collapsed="false">
      <c r="A54" s="11" t="s">
        <v>37</v>
      </c>
    </row>
  </sheetData>
  <dataValidations count="4">
    <dataValidation allowBlank="true" errorStyle="stop" operator="between" showDropDown="false" showErrorMessage="false" showInputMessage="false" sqref="B10:B49" type="list">
      <formula1>"PDF RAG Chat,Chat with YouTube,Chat with Data,Resume/JD Matcher"</formula1>
      <formula2>0</formula2>
    </dataValidation>
    <dataValidation allowBlank="true" errorStyle="stop" operator="between" showDropDown="false" showErrorMessage="false" showInputMessage="false" sqref="H10:H49" type="list">
      <formula1>"Code only,Code + Explanation,Code + Documentation,Full Package"</formula1>
      <formula2>0</formula2>
    </dataValidation>
    <dataValidation allowBlank="true" errorStyle="stop" operator="between" showDropDown="false" showErrorMessage="false" showInputMessage="false" sqref="F10:F49" type="list">
      <formula1>"Mini Project,Major Project"</formula1>
      <formula2>0</formula2>
    </dataValidation>
    <dataValidation allowBlank="true" errorStyle="stop" operator="between" showDropDown="false" showErrorMessage="false" showInputMessage="false" sqref="M10:M49" type="list">
      <formula1>"Not Started,In Progress,Delivered"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38</v>
      </c>
    </row>
    <row r="2" customFormat="false" ht="15" hidden="false" customHeight="false" outlineLevel="0" collapsed="false">
      <c r="A2" s="12" t="s">
        <v>39</v>
      </c>
    </row>
    <row r="4" customFormat="false" ht="15" hidden="false" customHeight="false" outlineLevel="0" collapsed="false">
      <c r="A4" s="13" t="s">
        <v>40</v>
      </c>
      <c r="B4" s="13" t="s">
        <v>41</v>
      </c>
      <c r="C4" s="13" t="s">
        <v>42</v>
      </c>
      <c r="D4" s="13" t="s">
        <v>43</v>
      </c>
    </row>
    <row r="5" customFormat="false" ht="31.5" hidden="false" customHeight="true" outlineLevel="0" collapsed="false">
      <c r="A5" s="14" t="n">
        <v>1</v>
      </c>
      <c r="B5" s="15" t="s">
        <v>44</v>
      </c>
      <c r="C5" s="16"/>
      <c r="D5" s="16"/>
    </row>
    <row r="6" customFormat="false" ht="31.5" hidden="false" customHeight="true" outlineLevel="0" collapsed="false">
      <c r="A6" s="14" t="n">
        <v>2</v>
      </c>
      <c r="B6" s="15" t="s">
        <v>45</v>
      </c>
      <c r="C6" s="16"/>
      <c r="D6" s="16"/>
    </row>
    <row r="7" customFormat="false" ht="31.5" hidden="false" customHeight="true" outlineLevel="0" collapsed="false">
      <c r="A7" s="14" t="n">
        <v>3</v>
      </c>
      <c r="B7" s="15" t="s">
        <v>46</v>
      </c>
      <c r="C7" s="16"/>
      <c r="D7" s="16"/>
    </row>
    <row r="8" customFormat="false" ht="31.5" hidden="false" customHeight="true" outlineLevel="0" collapsed="false">
      <c r="A8" s="14" t="n">
        <v>4</v>
      </c>
      <c r="B8" s="15" t="s">
        <v>47</v>
      </c>
      <c r="C8" s="16"/>
      <c r="D8" s="16"/>
    </row>
    <row r="9" customFormat="false" ht="31.5" hidden="false" customHeight="true" outlineLevel="0" collapsed="false">
      <c r="A9" s="14" t="n">
        <v>5</v>
      </c>
      <c r="B9" s="15" t="s">
        <v>48</v>
      </c>
      <c r="C9" s="16"/>
      <c r="D9" s="16"/>
    </row>
    <row r="10" customFormat="false" ht="31.5" hidden="false" customHeight="true" outlineLevel="0" collapsed="false">
      <c r="A10" s="14" t="n">
        <v>6</v>
      </c>
      <c r="B10" s="15" t="s">
        <v>49</v>
      </c>
      <c r="C10" s="16"/>
      <c r="D10" s="16"/>
    </row>
    <row r="11" customFormat="false" ht="31.5" hidden="false" customHeight="true" outlineLevel="0" collapsed="false">
      <c r="A11" s="14" t="n">
        <v>7</v>
      </c>
      <c r="B11" s="15" t="s">
        <v>50</v>
      </c>
      <c r="C11" s="16"/>
      <c r="D11" s="16"/>
    </row>
    <row r="12" customFormat="false" ht="31.5" hidden="false" customHeight="true" outlineLevel="0" collapsed="false">
      <c r="A12" s="14" t="n">
        <v>8</v>
      </c>
      <c r="B12" s="15" t="s">
        <v>51</v>
      </c>
      <c r="C12" s="16"/>
      <c r="D12" s="16"/>
    </row>
    <row r="13" customFormat="false" ht="31.5" hidden="false" customHeight="true" outlineLevel="0" collapsed="false">
      <c r="A13" s="14" t="n">
        <v>9</v>
      </c>
      <c r="B13" s="15" t="s">
        <v>52</v>
      </c>
      <c r="C13" s="16"/>
      <c r="D13" s="16"/>
    </row>
    <row r="14" customFormat="false" ht="31.5" hidden="false" customHeight="true" outlineLevel="0" collapsed="false">
      <c r="A14" s="14" t="n">
        <v>10</v>
      </c>
      <c r="B14" s="15" t="s">
        <v>53</v>
      </c>
      <c r="C14" s="16"/>
      <c r="D14" s="16"/>
    </row>
    <row r="15" customFormat="false" ht="31.5" hidden="false" customHeight="true" outlineLevel="0" collapsed="false">
      <c r="A15" s="14" t="n">
        <v>11</v>
      </c>
      <c r="B15" s="15" t="s">
        <v>54</v>
      </c>
      <c r="C15" s="16"/>
      <c r="D15" s="16"/>
    </row>
    <row r="16" customFormat="false" ht="31.5" hidden="false" customHeight="true" outlineLevel="0" collapsed="false">
      <c r="A16" s="14" t="n">
        <v>12</v>
      </c>
      <c r="B16" s="15" t="s">
        <v>55</v>
      </c>
      <c r="C16" s="16"/>
      <c r="D16" s="16"/>
    </row>
    <row r="17" customFormat="false" ht="31.5" hidden="false" customHeight="true" outlineLevel="0" collapsed="false">
      <c r="A17" s="14" t="n">
        <v>13</v>
      </c>
      <c r="B17" s="15" t="s">
        <v>56</v>
      </c>
      <c r="C17" s="16"/>
      <c r="D17" s="16"/>
    </row>
  </sheetData>
  <dataValidations count="1">
    <dataValidation allowBlank="true" errorStyle="stop" operator="between" showDropDown="false" showErrorMessage="false" showInputMessage="false" sqref="C5:C17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2026-07-30T08:51:31Z</dcterms:created>
  <dc:creator>openpyxl</dc:creator>
  <dc:description/>
  <dc:language>en-US</dc:language>
  <cp:lastModifiedBy/>
  <dcterms:modified xsi:type="dcterms:W3CDTF">2026-07-30T08:51:31Z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